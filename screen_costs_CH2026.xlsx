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ropbox\CISNET\Utility_costs_inputs\"/>
    </mc:Choice>
  </mc:AlternateContent>
  <bookViews>
    <workbookView xWindow="7044" yWindow="3816" windowWidth="27240" windowHeight="16380"/>
  </bookViews>
  <sheets>
    <sheet name="screen_costs" sheetId="2" r:id="rId1"/>
  </sheets>
  <externalReferences>
    <externalReference r:id="rId2"/>
    <externalReference r:id="rId3"/>
  </externalReferences>
  <definedNames>
    <definedName name="C_Seguimiento_1y2">#REF!</definedName>
    <definedName name="C_Seguimiento_3_4y5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1" i="2" l="1"/>
  <c r="B10" i="2" l="1"/>
  <c r="C2" i="2" l="1"/>
  <c r="C5" i="2"/>
  <c r="C8" i="2"/>
  <c r="B15" i="2"/>
  <c r="C15" i="2" s="1"/>
  <c r="C10" i="2"/>
  <c r="B9" i="2"/>
  <c r="C9" i="2" s="1"/>
  <c r="B7" i="2"/>
  <c r="C7" i="2" s="1"/>
  <c r="B13" i="2" l="1"/>
  <c r="C13" i="2" s="1"/>
  <c r="C11" i="2"/>
  <c r="B12" i="2"/>
  <c r="C12" i="2" s="1"/>
  <c r="B14" i="2"/>
  <c r="C14" i="2" s="1"/>
</calcChain>
</file>

<file path=xl/sharedStrings.xml><?xml version="1.0" encoding="utf-8"?>
<sst xmlns="http://schemas.openxmlformats.org/spreadsheetml/2006/main" count="16" uniqueCount="16">
  <si>
    <t>Cost (LessThan65)</t>
  </si>
  <si>
    <t>Cost (65Plus)</t>
  </si>
  <si>
    <t>FIT</t>
  </si>
  <si>
    <t>Hemoccult SENSA</t>
  </si>
  <si>
    <t>SDNA</t>
  </si>
  <si>
    <t>SIG</t>
  </si>
  <si>
    <t>CTC</t>
  </si>
  <si>
    <t>Screening colonoscopy without polypectomy</t>
  </si>
  <si>
    <t>Diagnostic colonoscopy without polypectomy</t>
  </si>
  <si>
    <t>Surveillance colonoscopy without polypectomy</t>
  </si>
  <si>
    <t>Colonoscopy with polypectomy</t>
  </si>
  <si>
    <t>Colonoscopy for diagnosis of a cancer by symptoms</t>
  </si>
  <si>
    <t>Fatal perforation</t>
  </si>
  <si>
    <t>Serious GI complication</t>
  </si>
  <si>
    <t>Other GI complication</t>
  </si>
  <si>
    <t>Cardiovascular complication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</si>
</sst>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1" fontId="0" fillId="0" borderId="0" xfId="0" applyNumberFormat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uario/Dropbox/CISNET/COSTOS/Costos_CRC_NA%2010%2006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CEA%20inputs%20simcr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ados"/>
      <sheetName val="Hoja1"/>
      <sheetName val="PSA"/>
      <sheetName val="Costos esperados por estadio"/>
      <sheetName val="Resumen costos x intervención"/>
      <sheetName val="Probabilidades Ca. Colon"/>
      <sheetName val="DatosHSR"/>
      <sheetName val="Prob+Costo Colon"/>
      <sheetName val="Probabilidades Ca. Recto"/>
      <sheetName val="PROBxCOSTO RECTO"/>
      <sheetName val="Etapificación"/>
      <sheetName val="Cirugia Colon"/>
      <sheetName val="Cirugia Recto"/>
      <sheetName val="Hartman"/>
      <sheetName val="Ostomia Derivativa"/>
      <sheetName val="Reseccion local"/>
      <sheetName val="Canasta QTP"/>
      <sheetName val="Canasta RT"/>
      <sheetName val="CCPP No oncologicos"/>
      <sheetName val="Seguimiento"/>
      <sheetName val="Canasta Polipos AR-BR"/>
      <sheetName val="Reconstitucion"/>
      <sheetName val="Recurrencias"/>
      <sheetName val="Canasta Screening"/>
      <sheetName val="CCPP Oncologicos"/>
      <sheetName val="Listado Costos por Prestación"/>
      <sheetName val="Vector costos MAI 2025"/>
      <sheetName val="Canastas EVC"/>
      <sheetName val="Auxiliar"/>
    </sheetNames>
    <sheetDataSet>
      <sheetData sheetId="0">
        <row r="6">
          <cell r="C6">
            <v>8540</v>
          </cell>
        </row>
      </sheetData>
      <sheetData sheetId="1">
        <row r="3">
          <cell r="I3">
            <v>1134.8203409968776</v>
          </cell>
        </row>
        <row r="7">
          <cell r="D7">
            <v>1.1490183809151349</v>
          </cell>
        </row>
        <row r="9">
          <cell r="D9">
            <v>1.1332342588971451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62">
          <cell r="I62">
            <v>1220292.3199071221</v>
          </cell>
        </row>
      </sheetData>
      <sheetData sheetId="19"/>
      <sheetData sheetId="20"/>
      <sheetData sheetId="21"/>
      <sheetData sheetId="22"/>
      <sheetData sheetId="23"/>
      <sheetData sheetId="24">
        <row r="42">
          <cell r="H42">
            <v>1962953.6390560754</v>
          </cell>
        </row>
      </sheetData>
      <sheetData sheetId="25"/>
      <sheetData sheetId="26"/>
      <sheetData sheetId="27"/>
      <sheetData sheetId="2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c_care_costs"/>
      <sheetName val="screen_costs"/>
      <sheetName val="crc_care_utility_loss"/>
      <sheetName val="GeneralHealthUtilityWeightsByAg"/>
      <sheetName val="screen_utility_loss_WithStoolTe"/>
    </sheetNames>
    <sheetDataSet>
      <sheetData sheetId="0"/>
      <sheetData sheetId="1">
        <row r="12">
          <cell r="D12">
            <v>7.8746219221878491</v>
          </cell>
        </row>
        <row r="13">
          <cell r="D13">
            <v>7.8746219221878491</v>
          </cell>
        </row>
        <row r="14">
          <cell r="D14">
            <v>5.6103182178878246</v>
          </cell>
        </row>
        <row r="15">
          <cell r="D15">
            <v>6.1490690372960106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tabSelected="1" workbookViewId="0">
      <selection activeCell="A5" sqref="A5"/>
    </sheetView>
  </sheetViews>
  <sheetFormatPr baseColWidth="10" defaultRowHeight="15"/>
  <cols>
    <col min="1" max="1" width="43.08984375" bestFit="1" customWidth="1"/>
    <col min="2" max="2" width="16.26953125" bestFit="1" customWidth="1"/>
    <col min="3" max="3" width="13.453125" bestFit="1" customWidth="1"/>
  </cols>
  <sheetData>
    <row r="1" spans="1:3">
      <c r="B1" t="s">
        <v>0</v>
      </c>
      <c r="C1" t="s">
        <v>1</v>
      </c>
    </row>
    <row r="2" spans="1:3">
      <c r="A2" t="s">
        <v>2</v>
      </c>
      <c r="B2" s="1">
        <v>21510</v>
      </c>
      <c r="C2" s="1">
        <f>B2</f>
        <v>21510</v>
      </c>
    </row>
    <row r="3" spans="1:3">
      <c r="A3" t="s">
        <v>3</v>
      </c>
      <c r="B3" s="1"/>
      <c r="C3" s="1"/>
    </row>
    <row r="4" spans="1:3">
      <c r="A4" t="s">
        <v>4</v>
      </c>
      <c r="B4" s="1"/>
      <c r="C4" s="1"/>
    </row>
    <row r="5" spans="1:3">
      <c r="A5" t="s">
        <v>5</v>
      </c>
      <c r="B5" s="1">
        <v>118064</v>
      </c>
      <c r="C5" s="1">
        <f>B5</f>
        <v>118064</v>
      </c>
    </row>
    <row r="6" spans="1:3">
      <c r="A6" t="s">
        <v>6</v>
      </c>
      <c r="B6" s="1"/>
      <c r="C6" s="1"/>
    </row>
    <row r="7" spans="1:3">
      <c r="A7" t="s">
        <v>7</v>
      </c>
      <c r="B7" s="1">
        <f>B8*[1]Hoja1!$D$7</f>
        <v>181271.4378099335</v>
      </c>
      <c r="C7" s="1">
        <f t="shared" ref="C7:C15" si="0">B7</f>
        <v>181271.4378099335</v>
      </c>
    </row>
    <row r="8" spans="1:3">
      <c r="A8" t="s">
        <v>8</v>
      </c>
      <c r="B8" s="1">
        <v>157762</v>
      </c>
      <c r="C8" s="1">
        <f t="shared" si="0"/>
        <v>157762</v>
      </c>
    </row>
    <row r="9" spans="1:3">
      <c r="A9" t="s">
        <v>9</v>
      </c>
      <c r="B9" s="1">
        <f>B8*[1]Hoja1!$D$9</f>
        <v>178781.30315213141</v>
      </c>
      <c r="C9" s="1">
        <f t="shared" si="0"/>
        <v>178781.30315213141</v>
      </c>
    </row>
    <row r="10" spans="1:3">
      <c r="A10" t="s">
        <v>10</v>
      </c>
      <c r="B10" s="1">
        <f>B8+216387+51929</f>
        <v>426078</v>
      </c>
      <c r="C10" s="1">
        <f t="shared" si="0"/>
        <v>426078</v>
      </c>
    </row>
    <row r="11" spans="1:3">
      <c r="A11" t="s">
        <v>11</v>
      </c>
      <c r="B11" s="1">
        <f>B10</f>
        <v>426078</v>
      </c>
      <c r="C11" s="1">
        <f t="shared" si="0"/>
        <v>426078</v>
      </c>
    </row>
    <row r="12" spans="1:3">
      <c r="A12" t="s">
        <v>12</v>
      </c>
      <c r="B12" s="1">
        <f>B11*[2]screen_costs!$D$12</f>
        <v>3355203.1593619543</v>
      </c>
      <c r="C12" s="1">
        <f t="shared" si="0"/>
        <v>3355203.1593619543</v>
      </c>
    </row>
    <row r="13" spans="1:3">
      <c r="A13" t="s">
        <v>13</v>
      </c>
      <c r="B13" s="1">
        <f>B11*[2]screen_costs!$D$13</f>
        <v>3355203.1593619543</v>
      </c>
      <c r="C13" s="1">
        <f t="shared" si="0"/>
        <v>3355203.1593619543</v>
      </c>
    </row>
    <row r="14" spans="1:3">
      <c r="A14" t="s">
        <v>14</v>
      </c>
      <c r="B14" s="1">
        <f>B11*[2]screen_costs!$D$14</f>
        <v>2390433.1656412086</v>
      </c>
      <c r="C14" s="1">
        <f t="shared" si="0"/>
        <v>2390433.1656412086</v>
      </c>
    </row>
    <row r="15" spans="1:3">
      <c r="A15" t="s">
        <v>15</v>
      </c>
      <c r="B15" s="1">
        <f>B11*[2]screen_costs!$D$15</f>
        <v>2619983.0372730098</v>
      </c>
      <c r="C15" s="1">
        <f t="shared" si="0"/>
        <v>2619983.0372730098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screen_costs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Roa Contreras</dc:creator>
  <cp:lastModifiedBy>mpv-uchile@hotmail.com</cp:lastModifiedBy>
  <dcterms:created xsi:type="dcterms:W3CDTF">2025-02-10T17:28:04Z</dcterms:created>
  <dcterms:modified xsi:type="dcterms:W3CDTF">2026-04-21T01:59:49Z</dcterms:modified>
</cp:coreProperties>
</file>